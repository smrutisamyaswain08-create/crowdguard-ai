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activeTab="3"/>
  </bookViews>
  <sheets>
    <sheet name="Readme &amp; Summary" sheetId="1" r:id="rId1"/>
    <sheet name="Functional Test Cases" sheetId="2" r:id="rId2"/>
    <sheet name="API Integration" sheetId="3" r:id="rId3"/>
    <sheet name="Performance &amp; Secur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<sst xmlns="http://schemas.openxmlformats.org/spreadsheetml/2006/main" count="670" uniqueCount="336">
  <si>
    <t>CROWDGUARD AI - CROWD MANAGEMENT SYSTEM</t>
  </si>
  <si>
    <t>Master Quality Assurance &amp; Testing Workbook</t>
  </si>
  <si>
    <t>This workbook contains the master testing plan and test suite for the Crowd Management System.
The project consists of a React + Vite frontend (dashboard, streams, historical logs, camera crud, admin panels)
and a Django REST Framework backend integrating CSRNet crowd detection, alerts engine, email updates, and PDF/CSV reporting.
Use the tabs below to view detailed test specifications.</t>
  </si>
  <si>
    <t>Test Execution Dashboard</t>
  </si>
  <si>
    <t>Module / Tab</t>
  </si>
  <si>
    <t>Total Cases</t>
  </si>
  <si>
    <t>Not Run</t>
  </si>
  <si>
    <t>Pass</t>
  </si>
  <si>
    <t>Fail</t>
  </si>
  <si>
    <t>Blocked</t>
  </si>
  <si>
    <t>% Complete</t>
  </si>
  <si>
    <t>Functional Test Cases</t>
  </si>
  <si>
    <t>API Integration</t>
  </si>
  <si>
    <t>Performance &amp; Security</t>
  </si>
  <si>
    <t>Total Summary</t>
  </si>
  <si>
    <t>Legend</t>
  </si>
  <si>
    <t>Test executed and criteria met successfully.</t>
  </si>
  <si>
    <t>Test executed and failed to meet expected results.</t>
  </si>
  <si>
    <t>Test cannot be run due to external dependency/defect.</t>
  </si>
  <si>
    <t>Test has not been executed yet.</t>
  </si>
  <si>
    <t>Test Case ID</t>
  </si>
  <si>
    <t>Module / Component</t>
  </si>
  <si>
    <t>Test Description</t>
  </si>
  <si>
    <t>Pre-conditions</t>
  </si>
  <si>
    <t>Steps to Execute</t>
  </si>
  <si>
    <t>Expected Result</t>
  </si>
  <si>
    <t>Actual Result</t>
  </si>
  <si>
    <t>Status</t>
  </si>
  <si>
    <t>Priority</t>
  </si>
  <si>
    <t>Severity</t>
  </si>
  <si>
    <t>TC-AUTH-01</t>
  </si>
  <si>
    <t>Accounts &amp; Auth</t>
  </si>
  <si>
    <t>User Registration - Security Officer role validation</t>
  </si>
  <si>
    <t>Admin or public sign-up is open. DB clean.</t>
  </si>
  <si>
    <t>1. Send POST request to /api/auth/register/ with username, email, password, and role='security_officer'.
2. Verify response status is 201 Created.
3. Check database user object.
4. Check console/logs for email notification dispatch.</t>
  </si>
  <si>
    <t>User is created successfully with role 'security_officer'. Email notification containing user details is sent. Response status is 201.</t>
  </si>
  <si>
    <t/>
  </si>
  <si>
    <t>High</t>
  </si>
  <si>
    <t>Major</t>
  </si>
  <si>
    <t>TC-AUTH-02</t>
  </si>
  <si>
    <t>User Registration - Duplicate username/email prevention</t>
  </si>
  <si>
    <t>A user with username 'officer1' and email 'officer1@crowdguard.com' exists in DB.</t>
  </si>
  <si>
    <t>1. Send POST request to /api/auth/register/ with same username and email.
2. Verify response status and error body.</t>
  </si>
  <si>
    <t>Response status is 400 Bad Request. Fields validation errors are returned detailing that username/email already exists.</t>
  </si>
  <si>
    <t>TC-AUTH-03</t>
  </si>
  <si>
    <t>User Login - Valid Credentials</t>
  </si>
  <si>
    <t>User 'officer1' is registered with password 'SecurePass123!'.</t>
  </si>
  <si>
    <t>1. Send POST request to /api/auth/login/ with username='officer1' and password='SecurePass123!'.
2. Inspect response status and token payload.</t>
  </si>
  <si>
    <t>Response status is 200 OK. JWT access and refresh tokens are returned. Response contains serialized user details.</t>
  </si>
  <si>
    <t>Critical</t>
  </si>
  <si>
    <t>TC-AUTH-04</t>
  </si>
  <si>
    <t>User Login - Invalid Credentials</t>
  </si>
  <si>
    <t>User 'officer1' exists.</t>
  </si>
  <si>
    <t>1. Send POST request to /api/auth/login/ with username='officer1' and password='WrongPassword'.
2. Inspect status and error details.</t>
  </si>
  <si>
    <t>Response status is 401 Unauthorized. Error message indicates no active account found with given credentials.</t>
  </si>
  <si>
    <t>TC-AUTH-05</t>
  </si>
  <si>
    <t>Fetch Current User Profile Info (Auth Me)</t>
  </si>
  <si>
    <t>User is logged in and possesses valid JWT access token.</t>
  </si>
  <si>
    <t>1. Send GET request to /api/auth/me/ with Bearer access token in headers.
2. Verify response body details.</t>
  </si>
  <si>
    <t>Response status is 200 OK. Returns logged-in user username, email, role, date_joined, etc.</t>
  </si>
  <si>
    <t>Medium</t>
  </si>
  <si>
    <t>Minor</t>
  </si>
  <si>
    <t>TC-AUTH-06</t>
  </si>
  <si>
    <t>Token Refresh Endpoint Validation</t>
  </si>
  <si>
    <t>User is logged in and possesses a valid JWT refresh token.</t>
  </si>
  <si>
    <t>1. Send POST request to /api/auth/login/refresh/ with refresh token.
2. Verify response status and body.</t>
  </si>
  <si>
    <t>Response status is 200 OK. A new JWT access token is returned.</t>
  </si>
  <si>
    <t>TC-AUTH-07</t>
  </si>
  <si>
    <t>User List Access Control - Security Officer Role</t>
  </si>
  <si>
    <t>Log in as a user with 'security_officer' role.</t>
  </si>
  <si>
    <t>1. Send GET request to /api/auth/users/.
2. Verify the list of users returned.</t>
  </si>
  <si>
    <t>Response status is 200 OK. Queryset is filtered to return ONLY the requesting user's own profile info.</t>
  </si>
  <si>
    <t>TC-AUTH-08</t>
  </si>
  <si>
    <t>User List Access Control - Admin Role</t>
  </si>
  <si>
    <t>Log in as a user with 'admin' role.</t>
  </si>
  <si>
    <t>Response status is 200 OK. Returns the complete list of all registered users in the database.</t>
  </si>
  <si>
    <t>TC-CAM-01</t>
  </si>
  <si>
    <t>Camera Management</t>
  </si>
  <si>
    <t>Create Camera - Valid Video File Upload</t>
  </si>
  <si>
    <t>User is authenticated. Clean state.</t>
  </si>
  <si>
    <t>1. Send POST request to /api/camera/ with name='Gate Entrance A', location='Concourse Gate A', and upload a sample MP4 video file.
2. Inspect database and media file paths.</t>
  </si>
  <si>
    <t>Response status is 201 Created. Camera object is saved. Video file is stored in media folder under camera_videos/.</t>
  </si>
  <si>
    <t>TC-CAM-02</t>
  </si>
  <si>
    <t>Create Camera - Valid RTSP Stream URL</t>
  </si>
  <si>
    <t>User is authenticated.</t>
  </si>
  <si>
    <t>1. Send POST request to /api/camera/ with name='Corridor B Cam', location='Zone B Corridor', stream_url='rtsp://admin:pass@192.168.1.100/stream'.
2. Verify response.</t>
  </si>
  <si>
    <t>Response status is 201 Created. Camera object is saved with stream_url parameter. Video file field is blank.</t>
  </si>
  <si>
    <t>TC-CAM-03</t>
  </si>
  <si>
    <t>Create Camera - Invalid Parameters (Validation)</t>
  </si>
  <si>
    <t>1. Send POST request to /api/camera/ with name='' (blank) or location='' (blank).
2. Inspect response error details.</t>
  </si>
  <si>
    <t>Response status is 400 Bad Request. Fields show validation errors: 'This field may not be blank.'</t>
  </si>
  <si>
    <t>TC-CAM-04</t>
  </si>
  <si>
    <t>List All Cameras</t>
  </si>
  <si>
    <t>Multiple camera records exist in DB. User is authenticated.</t>
  </si>
  <si>
    <t>1. Send GET request to /api/camera/.
2. Verify count and items in list.</t>
  </si>
  <si>
    <t>Response status is 200 OK. Returns a list of all registered camera objects in JSON format.</t>
  </si>
  <si>
    <t>TC-CAM-05</t>
  </si>
  <si>
    <t>Retrieve Single Camera Details</t>
  </si>
  <si>
    <t>Camera with ID=1 exists in DB. User is authenticated.</t>
  </si>
  <si>
    <t>1. Send GET request to /api/camera/1/.
2. Verify fields match camera 1.</t>
  </si>
  <si>
    <t>Response status is 200 OK. Returns the detailed fields for camera 1 (id, name, location, status, stream_url, video_file, created_at).</t>
  </si>
  <si>
    <t>TC-CAM-06</t>
  </si>
  <si>
    <t>Update Camera Configurations</t>
  </si>
  <si>
    <t>Camera with ID=1 exists. User is authenticated.</t>
  </si>
  <si>
    <t>1. Send PUT request to /api/camera/1/ with updated name='Main Gate 1', location='Gate 1 Entrance Area'.
2. Re-fetch details to verify.</t>
  </si>
  <si>
    <t>Response status is 200 OK. Fields are updated in database. Re-fetching details returns updated values.</t>
  </si>
  <si>
    <t>TC-CAM-07</t>
  </si>
  <si>
    <t>Delete Camera</t>
  </si>
  <si>
    <t>Camera with ID=2 exists in DB. User is authenticated.</t>
  </si>
  <si>
    <t>1. Send DELETE request to /api/camera/2/.
2. Send GET request to /api/camera/2/ to verify deletion.</t>
  </si>
  <si>
    <t>Response status is 204 No Content. Fetching camera 2 after deletion returns 404 Not Found.</t>
  </si>
  <si>
    <t>TC-CAM-08</t>
  </si>
  <si>
    <t>Toggle Camera Status - Online to Offline</t>
  </si>
  <si>
    <t>Camera with ID=1 is 'online'. User is authenticated.</t>
  </si>
  <si>
    <t>1. Send POST request to /api/camera/1/toggle-status/.
2. Check status field in database.</t>
  </si>
  <si>
    <t>Response status is 200 OK. Camera status is updated to 'offline'. Returns updated camera serialized details.</t>
  </si>
  <si>
    <t>TC-CAM-09</t>
  </si>
  <si>
    <t>Toggle Camera Status - Offline to Online</t>
  </si>
  <si>
    <t>Camera with ID=1 is 'offline'. User is authenticated.</t>
  </si>
  <si>
    <t>Response status is 200 OK. Camera status is updated to 'online'. Returns updated camera serialized details.</t>
  </si>
  <si>
    <t>TC-DET-01</t>
  </si>
  <si>
    <t>Detection &amp; Stream</t>
  </si>
  <si>
    <t>Camera MJPEG Live Feed Stream - Online Camera (Synthetic)</t>
  </si>
  <si>
    <t>Camera 1 is online, has no stream_url/video_file. Frontend requested stream.</t>
  </si>
  <si>
    <t>1. Send GET request to /api/detection/stream/1/.
2. Inspect response content type and check if chunks of image stream are continuously received.</t>
  </si>
  <si>
    <t>Response is a StreamingHttpResponse with content_type 'multipart/x-mixed-replace; boundary=frame'. Synthetic people dots are drawn, frame count &amp; stats overlays are updated, side-by-side view (overlay + heatmap) is generated, yielding ~25fps.</t>
  </si>
  <si>
    <t>TC-DET-02</t>
  </si>
  <si>
    <t>Camera Live Feed Stream - Offline Camera</t>
  </si>
  <si>
    <t>Camera 1 is offline. User starts stream.</t>
  </si>
  <si>
    <t>1. Send GET request to /api/detection/stream/1/.
2. Inspect stream frame graphics and yield pattern.</t>
  </si>
  <si>
    <t>The generator produces a blank black frame containing a red warning text: 'CAMERA OFFLINE: &lt;camera_name&gt;'. Chunks are yielded every 0.5s (throttled sleep).</t>
  </si>
  <si>
    <t>TC-DET-03</t>
  </si>
  <si>
    <t>Periodic Detection Records Generation</t>
  </si>
  <si>
    <t>Camera 1 is streaming.</t>
  </si>
  <si>
    <t>1. Let the stream run for 10-15 seconds.
2. Check DB records under 'Detection' table.</t>
  </si>
  <si>
    <t>Detection table gets populated with logs for Camera 1 every 4.0 seconds (db_save_interval). Fields populated: image path, heatmap path, count, density, risk status.</t>
  </si>
  <si>
    <t>TC-DET-04</t>
  </si>
  <si>
    <t>CSRNet Crowd Counting Model Processing</t>
  </si>
  <si>
    <t>Camera stream has uploaded video containing people or synthetic dots walk around.</t>
  </si>
  <si>
    <t>1. Observe CSRNet output in logs or frames.
2. Verify crowd count updates dynamically.</t>
  </si>
  <si>
    <t>CSRNet processes raw frames, generates a count integer and a 2D density score. Heatmap colormap is generated.</t>
  </si>
  <si>
    <t>TC-DET-05</t>
  </si>
  <si>
    <t>Detection History - List &amp; Query Parameter Filter</t>
  </si>
  <si>
    <t>Detections database populated with multiple records for multiple cameras and risks.</t>
  </si>
  <si>
    <t>1. Send GET to /api/detection/history/.
2. Send GET to /api/detection/history/?camera_id=1.
3. Send GET to /api/detection/history/?risk=high.</t>
  </si>
  <si>
    <t>1. Returns all detection records.
2. Returns only detections of camera 1.
3. Returns only detections with risk level 'high'. Status is 200 OK.</t>
  </si>
  <si>
    <t>TC-DET-06</t>
  </si>
  <si>
    <t>Fetch Latest Detection Stats for Camera</t>
  </si>
  <si>
    <t>Detections exist for Camera 1.</t>
  </si>
  <si>
    <t>1. Send GET to /api/detection/latest/1/.
2. Verify the returned object contains the most recent detection entry.</t>
  </si>
  <si>
    <t>Response status is 200 OK. It returns the single latest detection record details (count, density, risk, paths) for camera 1.</t>
  </si>
  <si>
    <t>TC-ALT-01</t>
  </si>
  <si>
    <t>Alerts &amp; Safety</t>
  </si>
  <si>
    <t>Overcrowding Alert - High Risk Trigger (150 &lt; Count &lt;= 300)</t>
  </si>
  <si>
    <t>Camera 1 stream count increases past 150.</t>
  </si>
  <si>
    <t>1. Let synthetic people toggle or inject video to reach 180 count.
2. Verify if alert database logs a new alert.</t>
  </si>
  <si>
    <t>A new Alert record of type 'overcrowding' is created in the DB with status resolved=False, linked to the corresponding Detection object. Logs show alert creation statement.</t>
  </si>
  <si>
    <t>TC-ALT-02</t>
  </si>
  <si>
    <t>Evacuation Recommended Alert - Critical Risk Trigger (Count &gt; 300)</t>
  </si>
  <si>
    <t>Camera 1 stream count increases past 300.</t>
  </si>
  <si>
    <t>1. Trigger critical occupancy (&gt; 300).
2. Check database alerts.</t>
  </si>
  <si>
    <t>An Alert of type 'evacuation' is created in the DB with status resolved=False. A companion alert of type 'restricted_entry' is also auto-created to secure the zone.</t>
  </si>
  <si>
    <t>TC-ALT-03</t>
  </si>
  <si>
    <t>Transition Email Dispatch</t>
  </si>
  <si>
    <t>Risk state transitions from low to higher risk (medium/high/critical).</t>
  </si>
  <si>
    <t>1. Monitor terminal print output and email logs when risk state shifts from 'low' to 'medium' or higher.</t>
  </si>
  <si>
    <t>Function 'trigger_risk_alert_email' runs and sends an email detailing camera name, location, old risk, new risk, and crowd count. Log confirms mail dispatch.</t>
  </si>
  <si>
    <t>TC-ALT-04</t>
  </si>
  <si>
    <t>Recovery Alert on returning to Safe Level</t>
  </si>
  <si>
    <t>Active unresolved alerts exist. Risk level drops to 'low' (count &lt;= 50).</t>
  </si>
  <si>
    <t>1. Force count below 50.
2. Inspect active alerts in DB.
3. Verify if recovery alert is registered.</t>
  </si>
  <si>
    <t>Active alerts ('overcrowding', 'evacuation', 'restricted_entry') for that camera are automatically resolved in DB (resolved=True, resolved_at=now). A new recovery alert 'safe_level' is created as resolved=True.</t>
  </si>
  <si>
    <t>TC-ALT-05</t>
  </si>
  <si>
    <t>Manual Resolve Alert by Security Officer</t>
  </si>
  <si>
    <t>Unresolved alert with ID=1 exists in DB.</t>
  </si>
  <si>
    <t>1. Send POST request to /api/alerts/1/resolve/ as authenticated user.
2. Verify fields resolved, resolved_by, and resolved_at.</t>
  </si>
  <si>
    <t>Response status is 200 OK. Alert 1 is updated with resolved=True, resolved_by=user, resolved_at=now.</t>
  </si>
  <si>
    <t>TC-ALT-06</t>
  </si>
  <si>
    <t>Auto-resolve Companion Restricted Entry Alert</t>
  </si>
  <si>
    <t>Critical risk alerts 'evacuation' and 'restricted_entry' exist for same detection.</t>
  </si>
  <si>
    <t>1. Send POST to resolve the 'evacuation' alert.
2. Check the status of the corresponding 'restricted_entry' alert.</t>
  </si>
  <si>
    <t>Both alerts are resolved. The resolve function auto-resolves companion unresolved alerts linked to the same detection.</t>
  </si>
  <si>
    <t>TC-ALT-07</t>
  </si>
  <si>
    <t>Filter Alerts List</t>
  </si>
  <si>
    <t>Alerts exist in DB.</t>
  </si>
  <si>
    <t>1. Send GET to /api/alerts/?resolved=false.
2. Send GET to /api/alerts/?camera_id=1.</t>
  </si>
  <si>
    <t>1. Returns list of unresolved alerts only.
2. Returns list of alerts associated with camera 1. Status is 200 OK.</t>
  </si>
  <si>
    <t>TC-ANL-01</t>
  </si>
  <si>
    <t>Analytics Module</t>
  </si>
  <si>
    <t>Dashboard Overview Summary Stats</t>
  </si>
  <si>
    <t>Detections and alerts exist in DB. 2 cameras are online, 1 offline.</t>
  </si>
  <si>
    <t>1. Send GET to /api/analytics/summary/.
2. Verify arithmetic correctness of active_cameras, current_crowd_count (sum of online latest counts), average_crowd_density, and unresolved_alerts.</t>
  </si>
  <si>
    <t>Response status is 200 OK. Returns exact totals matches: total_cameras=3, active_cameras=2, average_crowd_density=average(latest online densities), unresolved_alerts=count(resolved=false).</t>
  </si>
  <si>
    <t>TC-ANL-02</t>
  </si>
  <si>
    <t>Crowd Trends Time Series Data (24 Hours)</t>
  </si>
  <si>
    <t>Detections database populated.</t>
  </si>
  <si>
    <t>1. Send GET to /api/analytics/trends/.
2. Verify response format contains 'labels' (hours list) and 'data' (average counts list).</t>
  </si>
  <si>
    <t>Response status is 200 OK. Contains 24 time intervals. If database is fresh, fallback mock curves (peaks at rush hours, low late night) are returned successfully.</t>
  </si>
  <si>
    <t>TC-ANL-03</t>
  </si>
  <si>
    <t>Calculate Peak Hours List</t>
  </si>
  <si>
    <t>Detections exist in DB.</t>
  </si>
  <si>
    <t>1. Send GET to /api/analytics/peaks/.
2. Verify list length, sorting, and peak values.</t>
  </si>
  <si>
    <t>Response status is 200 OK. Returns top 5 busiest hours of day sorted by average crowd count descending. Fallback mock list used if DB is empty.</t>
  </si>
  <si>
    <t>TC-ANL-04</t>
  </si>
  <si>
    <t>Alert Frequency Distribution</t>
  </si>
  <si>
    <t>Alerts of multiple types exist in DB.</t>
  </si>
  <si>
    <t>1. Send GET to /api/analytics/alerts/.
2. Verify display mapping labels and totals.</t>
  </si>
  <si>
    <t>Response status is 200 OK. Returns labels (display names like 'Overcrowding Detected') and corresponding counts. Fallbacks populated if database totals are 0.</t>
  </si>
  <si>
    <t>TC-REP-01</t>
  </si>
  <si>
    <t>Reports Module</t>
  </si>
  <si>
    <t>PDF Report Generation &amp; Download</t>
  </si>
  <si>
    <t>Authenticated user.</t>
  </si>
  <si>
    <t>1. Send POST to /api/reports/generate/ with JSON payload: {'report_type': 'daily', 'format': 'pdf'}.
2. Inspect response headers and content.</t>
  </si>
  <si>
    <t>Response status is 200 OK. Header contains Content-Disposition attachment filename. Content is binary PDF data. Report instance is saved in database.</t>
  </si>
  <si>
    <t>TC-REP-02</t>
  </si>
  <si>
    <t>CSV Report Generation &amp; Download</t>
  </si>
  <si>
    <t>1. Send POST to /api/reports/generate/ with JSON payload: {'report_type': 'weekly', 'format': 'csv'}.
2. Inspect response headers and CSV columns.</t>
  </si>
  <si>
    <t>Response status is 200 OK. Attachment header has CSV extension. CSV contains correct columns: Timestamp, Camera Name, Location, Crowd Count, Crowd Density, Risk Level, Alerts Status.</t>
  </si>
  <si>
    <t>TC-REP-03</t>
  </si>
  <si>
    <t>Report Generation Invalid Format Parameter Validation</t>
  </si>
  <si>
    <t>1. Send POST to /api/reports/generate/ with format='txt' or report_type='yearly'.
2. Inspect response.</t>
  </si>
  <si>
    <t>Response status is 400 Bad Request. Returns descriptive validation error details.</t>
  </si>
  <si>
    <t>TC-REP-04</t>
  </si>
  <si>
    <t>Fetch Historical Reports List</t>
  </si>
  <si>
    <t>Reports exist in database.</t>
  </si>
  <si>
    <t>1. Send GET request to /api/reports/.
2. Verify the records returned.</t>
  </si>
  <si>
    <t>Response status is 200 OK. Returns a list of generated reports containing report_type, generated_on date, and the report file URL.</t>
  </si>
  <si>
    <t>API Endpoint</t>
  </si>
  <si>
    <t>HTTP Method</t>
  </si>
  <si>
    <t>Request Body (JSON) / Params</t>
  </si>
  <si>
    <t>Required Headers</t>
  </si>
  <si>
    <t>Expected Status</t>
  </si>
  <si>
    <t>Key Response Fields</t>
  </si>
  <si>
    <t>Auth / Permission Level</t>
  </si>
  <si>
    <t>/api/auth/register/</t>
  </si>
  <si>
    <t>POST</t>
  </si>
  <si>
    <t>{"username": "officer2", "email": "officer2@crowd.com", "password": "Pass1234!", "role": "security_officer"}</t>
  </si>
  <si>
    <t>None</t>
  </si>
  <si>
    <t>201 Created</t>
  </si>
  <si>
    <t>{"message": "...", "user": {...}, "email_sent": true/false}</t>
  </si>
  <si>
    <t>Public (AllowAny)</t>
  </si>
  <si>
    <t>/api/auth/login/</t>
  </si>
  <si>
    <t>{"username": "officer2", "password": "Pass1234!"}</t>
  </si>
  <si>
    <t>200 OK</t>
  </si>
  <si>
    <t>{"access": "...", "refresh": "...", "user": {...}}</t>
  </si>
  <si>
    <t>/api/auth/login/refresh/</t>
  </si>
  <si>
    <t>{"refresh": "&lt;refresh_token&gt;"}</t>
  </si>
  <si>
    <t>{"access": "..."}</t>
  </si>
  <si>
    <t>/api/auth/me/</t>
  </si>
  <si>
    <t>GET</t>
  </si>
  <si>
    <t>Authorization: Bearer &lt;access_token&gt;</t>
  </si>
  <si>
    <t>{"id": 2, "username": "officer2", "role": "security_officer", ...}</t>
  </si>
  <si>
    <t>IsAuthenticated</t>
  </si>
  <si>
    <t>/api/auth/users/</t>
  </si>
  <si>
    <t>List of User objects (Filtered by role: admin gets all, officer gets only self)</t>
  </si>
  <si>
    <t>/api/camera/</t>
  </si>
  <si>
    <t>List of Camera objects</t>
  </si>
  <si>
    <t>{"name": "East Gate", "location": "Gate E", "stream_url": null, "video_file": null}</t>
  </si>
  <si>
    <t>Serialized Camera object with generated ID</t>
  </si>
  <si>
    <t>/api/camera/&lt;id&gt;/</t>
  </si>
  <si>
    <t>Camera details</t>
  </si>
  <si>
    <t>PUT</t>
  </si>
  <si>
    <t>{"name": "East Gate Redux", "location": "Gate E Concourse"}</t>
  </si>
  <si>
    <t>Updated Camera object details</t>
  </si>
  <si>
    <t>DELETE</t>
  </si>
  <si>
    <t>204 No Content</t>
  </si>
  <si>
    <t>Empty response</t>
  </si>
  <si>
    <t>/api/camera/&lt;id&gt;/toggle-status/</t>
  </si>
  <si>
    <t>Updated Camera object (status online/offline inverted)</t>
  </si>
  <si>
    <t>/api/detection/history/</t>
  </si>
  <si>
    <t>Query Params: ?camera_id=1&amp;risk=high</t>
  </si>
  <si>
    <t>List of filtered Detection objects with camera details</t>
  </si>
  <si>
    <t>/api/detection/latest/&lt;camera_id&gt;/</t>
  </si>
  <si>
    <t>Latest Detection record fields for given camera_id</t>
  </si>
  <si>
    <t>/api/detection/stream/&lt;camera_id&gt;/</t>
  </si>
  <si>
    <t>None (In browser or image source tag)</t>
  </si>
  <si>
    <t>MJPEG boundary stream chunks bytes of annotated frame + heatmap</t>
  </si>
  <si>
    <t>Public / Session Access</t>
  </si>
  <si>
    <t>/api/alerts/</t>
  </si>
  <si>
    <t>Query Params: ?resolved=false&amp;camera_id=1</t>
  </si>
  <si>
    <t>List of filtered Alert objects with detection details</t>
  </si>
  <si>
    <t>/api/alerts/&lt;pk&gt;/resolve/</t>
  </si>
  <si>
    <t>Updated Alert object (resolved=True, resolved_by=user, resolved_at=now)</t>
  </si>
  <si>
    <t>/api/analytics/summary/</t>
  </si>
  <si>
    <t>{"total_cameras": 3, "active_cameras": 2, "current_crowd_count": 80, ...}</t>
  </si>
  <si>
    <t>/api/analytics/trends/</t>
  </si>
  <si>
    <t>{"labels": ["10:00", ...], "data": [120, ...]}</t>
  </si>
  <si>
    <t>/api/analytics/peaks/</t>
  </si>
  <si>
    <t>List of peak hours details: [{"hour": "18:00", "average_count": 234, ...}]</t>
  </si>
  <si>
    <t>/api/analytics/alerts/</t>
  </si>
  <si>
    <t>{"labels": ["Overcrowding Detected", ...], "data": [14, ...]}</t>
  </si>
  <si>
    <t>/api/reports/</t>
  </si>
  <si>
    <t>List of historical Report objects with generated_on and file URL</t>
  </si>
  <si>
    <t>/api/reports/generate/</t>
  </si>
  <si>
    <t>{"report_type": "daily", "format": "pdf"}</t>
  </si>
  <si>
    <t>Binary PDF or CSV data download download stream attachment</t>
  </si>
  <si>
    <t>Category</t>
  </si>
  <si>
    <t>Scenario Name</t>
  </si>
  <si>
    <t>Execution Details / Steps</t>
  </si>
  <si>
    <t>Acceptance Criteria</t>
  </si>
  <si>
    <t>Security</t>
  </si>
  <si>
    <t>Role-based Access Control (RBAC)</t>
  </si>
  <si>
    <t>Attempt to access /api/auth/users/ using a token belonging to a Security Officer role.</t>
  </si>
  <si>
    <t>Ensure that Security Officers cannot view other users' credentials or profiles. Only admin role should fetch full list.</t>
  </si>
  <si>
    <t>SQL Injection vulnerability check</t>
  </si>
  <si>
    <t>Send POST to /api/camera/ with location input: 'Gate AConcourse'); DROP TABLE camera_camera; --'.</t>
  </si>
  <si>
    <t>Input is processed safely using Django ORM parameterized queries. The text is saved literally and no database command execution occurs.</t>
  </si>
  <si>
    <t>Cross-Site Scripting (XSS) input filtering</t>
  </si>
  <si>
    <t>Add a camera with name: '&lt;script&gt;alert("XSS")&lt;/script&gt;' and view it in Camera List in React frontend.</t>
  </si>
  <si>
    <t>React automatically escapes HTML entities during rendering. Script tag does not execute. Script tag is printed as plaintext.</t>
  </si>
  <si>
    <t>Token sniffing / HTTP headers inspection</t>
  </si>
  <si>
    <t>Inspect backend responses for authorization headers leak or JWT payload in plain HTTP traffic.</t>
  </si>
  <si>
    <t>Ensure production configurations mandate HTTPS. JWT token payload should contain non-sensitive identifiers only (id, username, email, role).</t>
  </si>
  <si>
    <t>Performance</t>
  </si>
  <si>
    <t>CSRNet Model Inference Speed Test</t>
  </si>
  <si>
    <t>Let the streaming engine run on a server and capture average frame processing time (process_frame) under varying occupancies.</t>
  </si>
  <si>
    <t>Inference time per frame should remain under 120ms (equivalent to ~8fps visual refresh rate) to ensure stream remains useful and real-time.</t>
  </si>
  <si>
    <t>CPU/RAM Leak Test in Stream Generator</t>
  </si>
  <si>
    <t>Open 4 concurrent live camera stream tabs in frontend browser and let it stream for 10 minutes. Monitor server process memory usage.</t>
  </si>
  <si>
    <t>RAM usage should stabilize without continuously rising. Ensure generator releases OpenCV video capture bindings and thread objects on close.</t>
  </si>
  <si>
    <t>Database writing frequency load</t>
  </si>
  <si>
    <t>Run 10 camera feeds simultaneously, checking if the 4-second database save interval slows down Django's HTTP request handlers.</t>
  </si>
  <si>
    <t>Database write locks do not build up. SQLite handle accommodates write speed, or system is migrated to PostgreSQL for concurrent writes.</t>
  </si>
  <si>
    <t>Boundary / Robustness</t>
  </si>
  <si>
    <t>Broken Camera URL / RTSP Connection recovery</t>
  </si>
  <si>
    <t>Create camera with stream_url = 'rtsp://invalid_ip/stream' and start the stream viewer.</t>
  </si>
  <si>
    <t>The OpenCV VideoCapture fails to open. System catches error, output logs show 'Failed to open video source', feed falls back gracefully to synthetic generation.</t>
  </si>
  <si>
    <t>File Upload - Invalid extension/oversized video</t>
  </si>
  <si>
    <t>Create a camera and upload a 500MB executable (.exe) or non-video file instead of a video.</t>
  </si>
  <si>
    <t>The backend handles file parsing or raises error status 400. File fields block non-supported media extensions (allow only standard video wrappers).</t>
  </si>
  <si>
    <t>Database Empty States</t>
  </si>
  <si>
    <t>Truncate Detection, Alert, and Report tables in database, then fetch summary, trends, and reports generation APIs.</t>
  </si>
  <si>
    <t>Dashboard APIs do not crash with ZeroDivisionError or EmptyQueryset error. They fallback to beautiful, clean mock/realistic statistics.</t>
  </si>
  <si>
    <t>Network Latency &amp; Front-end Recovery</t>
  </si>
  <si>
    <t>Simulate network drops in browser developer console. Re-enable network connection after 30 seconds.</t>
  </si>
  <si>
    <t>React frontend does not crash. Live stream re-establishes connection automatically, and error banners vanish when endpoints are reachable.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</si>
</sst>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31">
    <font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sz val="10"/>
      <color rgb="FF334155"/>
      <name val="Segoe UI"/>
      <charset val="134"/>
    </font>
    <font>
      <b/>
      <sz val="10"/>
      <color rgb="FF475569"/>
      <name val="Segoe UI"/>
      <charset val="134"/>
    </font>
    <font>
      <b/>
      <sz val="10"/>
      <color rgb="FFDC2626"/>
      <name val="Segoe UI"/>
      <charset val="134"/>
    </font>
    <font>
      <b/>
      <sz val="10"/>
      <color rgb="FFD97706"/>
      <name val="Segoe UI"/>
      <charset val="134"/>
    </font>
    <font>
      <b/>
      <sz val="18"/>
      <color rgb="FF1E293B"/>
      <name val="Segoe UI"/>
      <charset val="134"/>
    </font>
    <font>
      <i/>
      <sz val="11"/>
      <color rgb="FF64748B"/>
      <name val="Segoe UI"/>
      <charset val="134"/>
    </font>
    <font>
      <b/>
      <sz val="14"/>
      <color rgb="FF0F172A"/>
      <name val="Segoe UI"/>
      <charset val="134"/>
    </font>
    <font>
      <b/>
      <sz val="10"/>
      <color rgb="FF1E293B"/>
      <name val="Segoe UI"/>
      <charset val="134"/>
    </font>
    <font>
      <b/>
      <sz val="10"/>
      <color rgb="FF16A34A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double">
        <color rgb="FF0F172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9" fillId="0" borderId="1" xfId="0" applyFont="1" applyBorder="1"/>
    <xf numFmtId="180" fontId="2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1"/>
  <sheetViews>
    <sheetView topLeftCell="A5" workbookViewId="0">
      <selection activeCell="A1" sqref="A1"/>
    </sheetView>
  </sheetViews>
  <sheetFormatPr defaultColWidth="9" defaultRowHeight="14.4" outlineLevelCol="7"/>
  <cols>
    <col min="2" max="2" width="30" customWidth="1"/>
    <col min="3" max="3" width="16" customWidth="1"/>
    <col min="4" max="7" width="14" customWidth="1"/>
    <col min="8" max="8" width="18" customWidth="1"/>
  </cols>
  <sheetData>
    <row r="2" ht="27" spans="2:8">
      <c r="B2" s="11" t="s">
        <v>0</v>
      </c>
    </row>
    <row r="3" ht="16.8" spans="2:8">
      <c r="B3" s="12" t="s">
        <v>1</v>
      </c>
    </row>
    <row r="4" ht="1" customHeight="1"/>
    <row r="5" ht="147" customHeight="1" spans="2:8">
      <c r="B5" s="13" t="s">
        <v>2</v>
      </c>
    </row>
    <row r="7" ht="20.4" spans="2:8">
      <c r="B7" s="14" t="s">
        <v>3</v>
      </c>
    </row>
    <row r="9" ht="15" spans="2:8"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</row>
    <row r="10" ht="15" spans="2:8">
      <c r="B10" s="15" t="s">
        <v>11</v>
      </c>
      <c r="C10" s="6">
        <f>COUNTA('Functional Test Cases'!A4:A37)</f>
        <v>34</v>
      </c>
      <c r="D10" s="6">
        <f>COUNTIF('Functional Test Cases'!H4:H37,"Not Run")</f>
        <v>34</v>
      </c>
      <c r="E10" s="6">
        <f>COUNTIF('Functional Test Cases'!H4:H37,"Pass")</f>
        <v>0</v>
      </c>
      <c r="F10" s="6">
        <f>COUNTIF('Functional Test Cases'!H4:H37,"Fail")</f>
        <v>0</v>
      </c>
      <c r="G10" s="6">
        <f>COUNTIF('Functional Test Cases'!H4:H37,"Blocked")</f>
        <v>0</v>
      </c>
      <c r="H10" s="16">
        <f>IF(C10&gt;0,(E10+F10+G10)/C10,0)</f>
        <v>0</v>
      </c>
    </row>
    <row r="11" ht="15" spans="2:8">
      <c r="B11" s="15" t="s">
        <v>12</v>
      </c>
      <c r="C11" s="6">
        <f>COUNTA('API Integration'!A4:A25)</f>
        <v>22</v>
      </c>
      <c r="D11" s="6">
        <f>COUNTIF('API Integration'!H4:H25,"Not Run")</f>
        <v>22</v>
      </c>
      <c r="E11" s="6">
        <f>COUNTIF('API Integration'!H4:H25,"Pass")</f>
        <v>0</v>
      </c>
      <c r="F11" s="6">
        <f>COUNTIF('API Integration'!H4:H25,"Fail")</f>
        <v>0</v>
      </c>
      <c r="G11" s="6">
        <f>COUNTIF('API Integration'!H4:H25,"Blocked")</f>
        <v>0</v>
      </c>
      <c r="H11" s="16">
        <f>IF(C11&gt;0,(E11+F11+G11)/C11,0)</f>
        <v>0</v>
      </c>
    </row>
    <row r="12" ht="15" spans="2:8">
      <c r="B12" s="15" t="s">
        <v>13</v>
      </c>
      <c r="C12" s="6">
        <f>COUNTA('Performance &amp; Security'!A4:A14)</f>
        <v>11</v>
      </c>
      <c r="D12" s="6">
        <f>COUNTIF('Performance &amp; Security'!E4:E14,"Not Run")</f>
        <v>11</v>
      </c>
      <c r="E12" s="6">
        <f>COUNTIF('Performance &amp; Security'!E4:E14,"Pass")</f>
        <v>0</v>
      </c>
      <c r="F12" s="6">
        <f>COUNTIF('Performance &amp; Security'!E4:E14,"Fail")</f>
        <v>0</v>
      </c>
      <c r="G12" s="6">
        <f>COUNTIF('Performance &amp; Security'!E4:E14,"Blocked")</f>
        <v>0</v>
      </c>
      <c r="H12" s="16">
        <f>IF(C12&gt;0,(E12+F12+G12)/C12,0)</f>
        <v>0</v>
      </c>
    </row>
    <row r="13" ht="15.75" spans="2:8">
      <c r="B13" s="17" t="s">
        <v>14</v>
      </c>
      <c r="C13" s="18">
        <f>SUM(C10:C12)</f>
        <v>67</v>
      </c>
      <c r="D13" s="18">
        <f>SUM(D10:D12)</f>
        <v>67</v>
      </c>
      <c r="E13" s="18">
        <f>SUM(E10:E12)</f>
        <v>0</v>
      </c>
      <c r="F13" s="18">
        <f>SUM(F10:F12)</f>
        <v>0</v>
      </c>
      <c r="G13" s="18">
        <f>SUM(G10:G12)</f>
        <v>0</v>
      </c>
      <c r="H13" s="19">
        <f>IF(C13&gt;0,(E13+F13+G13)/C13,0)</f>
        <v>0</v>
      </c>
    </row>
    <row r="14" ht="15.15"/>
    <row r="16" ht="20.4" spans="2:8">
      <c r="B16" s="14" t="s">
        <v>15</v>
      </c>
    </row>
    <row r="18" ht="15" spans="2:6">
      <c r="B18" s="20" t="s">
        <v>7</v>
      </c>
      <c r="C18" s="21" t="s">
        <v>16</v>
      </c>
      <c r="D18" s="22"/>
      <c r="E18" s="22"/>
      <c r="F18" s="23"/>
    </row>
    <row r="19" ht="15" spans="2:6">
      <c r="B19" s="24" t="s">
        <v>8</v>
      </c>
      <c r="C19" s="21" t="s">
        <v>17</v>
      </c>
      <c r="D19" s="22"/>
      <c r="E19" s="22"/>
      <c r="F19" s="23"/>
    </row>
    <row r="20" ht="15" spans="2:6">
      <c r="B20" s="25" t="s">
        <v>9</v>
      </c>
      <c r="C20" s="21" t="s">
        <v>18</v>
      </c>
      <c r="D20" s="22"/>
      <c r="E20" s="22"/>
      <c r="F20" s="23"/>
    </row>
    <row r="21" ht="15" spans="2:6">
      <c r="B21" s="4" t="s">
        <v>6</v>
      </c>
      <c r="C21" s="21" t="s">
        <v>19</v>
      </c>
      <c r="D21" s="22"/>
      <c r="E21" s="22"/>
      <c r="F21" s="23"/>
    </row>
  </sheetData>
  <mergeCells count="4">
    <mergeCell ref="C18:F18"/>
    <mergeCell ref="C19:F19"/>
    <mergeCell ref="C20:F20"/>
    <mergeCell ref="C21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41"/>
  <sheetViews>
    <sheetView topLeftCell="A35" workbookViewId="0">
      <selection activeCell="A1" sqref="A1"/>
    </sheetView>
  </sheetViews>
  <sheetFormatPr defaultColWidth="9" defaultRowHeight="14.4"/>
  <cols>
    <col min="1" max="1" width="14" customWidth="1"/>
    <col min="2" max="2" width="18" customWidth="1"/>
    <col min="3" max="3" width="35" customWidth="1"/>
    <col min="4" max="4" width="30" customWidth="1"/>
    <col min="5" max="6" width="45" customWidth="1"/>
    <col min="7" max="7" width="20" customWidth="1"/>
    <col min="8" max="8" width="14" customWidth="1"/>
    <col min="9" max="10" width="12" customWidth="1"/>
  </cols>
  <sheetData>
    <row r="3" ht="30" spans="1:1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ht="45" customHeight="1" spans="1:10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4" t="s">
        <v>6</v>
      </c>
      <c r="I4" s="5" t="s">
        <v>37</v>
      </c>
      <c r="J4" s="5" t="s">
        <v>38</v>
      </c>
    </row>
    <row r="5" ht="45" customHeight="1" spans="1:10">
      <c r="A5" s="6" t="s">
        <v>39</v>
      </c>
      <c r="B5" s="7" t="s">
        <v>31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36</v>
      </c>
      <c r="H5" s="4" t="s">
        <v>6</v>
      </c>
      <c r="I5" s="8" t="s">
        <v>37</v>
      </c>
      <c r="J5" s="8" t="s">
        <v>38</v>
      </c>
    </row>
    <row r="6" ht="45" customHeight="1" spans="1:10">
      <c r="A6" s="2" t="s">
        <v>44</v>
      </c>
      <c r="B6" s="3" t="s">
        <v>31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36</v>
      </c>
      <c r="H6" s="4" t="s">
        <v>6</v>
      </c>
      <c r="I6" s="5" t="s">
        <v>37</v>
      </c>
      <c r="J6" s="5" t="s">
        <v>49</v>
      </c>
    </row>
    <row r="7" ht="45" customHeight="1" spans="1:10">
      <c r="A7" s="6" t="s">
        <v>50</v>
      </c>
      <c r="B7" s="7" t="s">
        <v>31</v>
      </c>
      <c r="C7" s="7" t="s">
        <v>51</v>
      </c>
      <c r="D7" s="7" t="s">
        <v>52</v>
      </c>
      <c r="E7" s="7" t="s">
        <v>53</v>
      </c>
      <c r="F7" s="7" t="s">
        <v>54</v>
      </c>
      <c r="G7" s="7" t="s">
        <v>36</v>
      </c>
      <c r="H7" s="4" t="s">
        <v>6</v>
      </c>
      <c r="I7" s="8" t="s">
        <v>37</v>
      </c>
      <c r="J7" s="8" t="s">
        <v>49</v>
      </c>
    </row>
    <row r="8" ht="45" customHeight="1" spans="1:10">
      <c r="A8" s="2" t="s">
        <v>55</v>
      </c>
      <c r="B8" s="3" t="s">
        <v>31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36</v>
      </c>
      <c r="H8" s="4" t="s">
        <v>6</v>
      </c>
      <c r="I8" s="10" t="s">
        <v>60</v>
      </c>
      <c r="J8" s="10" t="s">
        <v>61</v>
      </c>
    </row>
    <row r="9" ht="45" customHeight="1" spans="1:10">
      <c r="A9" s="6" t="s">
        <v>62</v>
      </c>
      <c r="B9" s="7" t="s">
        <v>31</v>
      </c>
      <c r="C9" s="7" t="s">
        <v>63</v>
      </c>
      <c r="D9" s="7" t="s">
        <v>64</v>
      </c>
      <c r="E9" s="7" t="s">
        <v>65</v>
      </c>
      <c r="F9" s="7" t="s">
        <v>66</v>
      </c>
      <c r="G9" s="7" t="s">
        <v>36</v>
      </c>
      <c r="H9" s="4" t="s">
        <v>6</v>
      </c>
      <c r="I9" s="8" t="s">
        <v>37</v>
      </c>
      <c r="J9" s="8" t="s">
        <v>38</v>
      </c>
    </row>
    <row r="10" ht="45" customHeight="1" spans="1:10">
      <c r="A10" s="2" t="s">
        <v>67</v>
      </c>
      <c r="B10" s="3" t="s">
        <v>31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36</v>
      </c>
      <c r="H10" s="4" t="s">
        <v>6</v>
      </c>
      <c r="I10" s="10" t="s">
        <v>60</v>
      </c>
      <c r="J10" s="5" t="s">
        <v>38</v>
      </c>
    </row>
    <row r="11" ht="45" customHeight="1" spans="1:10">
      <c r="A11" s="6" t="s">
        <v>72</v>
      </c>
      <c r="B11" s="7" t="s">
        <v>31</v>
      </c>
      <c r="C11" s="7" t="s">
        <v>73</v>
      </c>
      <c r="D11" s="7" t="s">
        <v>74</v>
      </c>
      <c r="E11" s="7" t="s">
        <v>70</v>
      </c>
      <c r="F11" s="7" t="s">
        <v>75</v>
      </c>
      <c r="G11" s="7" t="s">
        <v>36</v>
      </c>
      <c r="H11" s="4" t="s">
        <v>6</v>
      </c>
      <c r="I11" s="9" t="s">
        <v>60</v>
      </c>
      <c r="J11" s="8" t="s">
        <v>38</v>
      </c>
    </row>
    <row r="12" ht="45" customHeight="1" spans="1:10">
      <c r="A12" s="2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36</v>
      </c>
      <c r="H12" s="4" t="s">
        <v>6</v>
      </c>
      <c r="I12" s="5" t="s">
        <v>37</v>
      </c>
      <c r="J12" s="5" t="s">
        <v>38</v>
      </c>
    </row>
    <row r="13" ht="45" customHeight="1" spans="1:10">
      <c r="A13" s="6" t="s">
        <v>82</v>
      </c>
      <c r="B13" s="7" t="s">
        <v>77</v>
      </c>
      <c r="C13" s="7" t="s">
        <v>83</v>
      </c>
      <c r="D13" s="7" t="s">
        <v>84</v>
      </c>
      <c r="E13" s="7" t="s">
        <v>85</v>
      </c>
      <c r="F13" s="7" t="s">
        <v>86</v>
      </c>
      <c r="G13" s="7" t="s">
        <v>36</v>
      </c>
      <c r="H13" s="4" t="s">
        <v>6</v>
      </c>
      <c r="I13" s="8" t="s">
        <v>37</v>
      </c>
      <c r="J13" s="8" t="s">
        <v>38</v>
      </c>
    </row>
    <row r="14" ht="45" customHeight="1" spans="1:10">
      <c r="A14" s="2" t="s">
        <v>87</v>
      </c>
      <c r="B14" s="3" t="s">
        <v>77</v>
      </c>
      <c r="C14" s="3" t="s">
        <v>88</v>
      </c>
      <c r="D14" s="3" t="s">
        <v>84</v>
      </c>
      <c r="E14" s="3" t="s">
        <v>89</v>
      </c>
      <c r="F14" s="3" t="s">
        <v>90</v>
      </c>
      <c r="G14" s="3" t="s">
        <v>36</v>
      </c>
      <c r="H14" s="4" t="s">
        <v>6</v>
      </c>
      <c r="I14" s="10" t="s">
        <v>60</v>
      </c>
      <c r="J14" s="10" t="s">
        <v>61</v>
      </c>
    </row>
    <row r="15" ht="45" customHeight="1" spans="1:10">
      <c r="A15" s="6" t="s">
        <v>91</v>
      </c>
      <c r="B15" s="7" t="s">
        <v>77</v>
      </c>
      <c r="C15" s="7" t="s">
        <v>92</v>
      </c>
      <c r="D15" s="7" t="s">
        <v>93</v>
      </c>
      <c r="E15" s="7" t="s">
        <v>94</v>
      </c>
      <c r="F15" s="7" t="s">
        <v>95</v>
      </c>
      <c r="G15" s="7" t="s">
        <v>36</v>
      </c>
      <c r="H15" s="4" t="s">
        <v>6</v>
      </c>
      <c r="I15" s="8" t="s">
        <v>37</v>
      </c>
      <c r="J15" s="8" t="s">
        <v>38</v>
      </c>
    </row>
    <row r="16" ht="45" customHeight="1" spans="1:10">
      <c r="A16" s="2" t="s">
        <v>96</v>
      </c>
      <c r="B16" s="3" t="s">
        <v>77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36</v>
      </c>
      <c r="H16" s="4" t="s">
        <v>6</v>
      </c>
      <c r="I16" s="5" t="s">
        <v>37</v>
      </c>
      <c r="J16" s="10" t="s">
        <v>61</v>
      </c>
    </row>
    <row r="17" ht="45" customHeight="1" spans="1:10">
      <c r="A17" s="6" t="s">
        <v>101</v>
      </c>
      <c r="B17" s="7" t="s">
        <v>77</v>
      </c>
      <c r="C17" s="7" t="s">
        <v>102</v>
      </c>
      <c r="D17" s="7" t="s">
        <v>103</v>
      </c>
      <c r="E17" s="7" t="s">
        <v>104</v>
      </c>
      <c r="F17" s="7" t="s">
        <v>105</v>
      </c>
      <c r="G17" s="7" t="s">
        <v>36</v>
      </c>
      <c r="H17" s="4" t="s">
        <v>6</v>
      </c>
      <c r="I17" s="9" t="s">
        <v>60</v>
      </c>
      <c r="J17" s="9" t="s">
        <v>61</v>
      </c>
    </row>
    <row r="18" ht="45" customHeight="1" spans="1:10">
      <c r="A18" s="2" t="s">
        <v>106</v>
      </c>
      <c r="B18" s="3" t="s">
        <v>77</v>
      </c>
      <c r="C18" s="3" t="s">
        <v>107</v>
      </c>
      <c r="D18" s="3" t="s">
        <v>108</v>
      </c>
      <c r="E18" s="3" t="s">
        <v>109</v>
      </c>
      <c r="F18" s="3" t="s">
        <v>110</v>
      </c>
      <c r="G18" s="3" t="s">
        <v>36</v>
      </c>
      <c r="H18" s="4" t="s">
        <v>6</v>
      </c>
      <c r="I18" s="5" t="s">
        <v>37</v>
      </c>
      <c r="J18" s="5" t="s">
        <v>38</v>
      </c>
    </row>
    <row r="19" ht="45" customHeight="1" spans="1:10">
      <c r="A19" s="6" t="s">
        <v>111</v>
      </c>
      <c r="B19" s="7" t="s">
        <v>77</v>
      </c>
      <c r="C19" s="7" t="s">
        <v>112</v>
      </c>
      <c r="D19" s="7" t="s">
        <v>113</v>
      </c>
      <c r="E19" s="7" t="s">
        <v>114</v>
      </c>
      <c r="F19" s="7" t="s">
        <v>115</v>
      </c>
      <c r="G19" s="7" t="s">
        <v>36</v>
      </c>
      <c r="H19" s="4" t="s">
        <v>6</v>
      </c>
      <c r="I19" s="8" t="s">
        <v>37</v>
      </c>
      <c r="J19" s="8" t="s">
        <v>38</v>
      </c>
    </row>
    <row r="20" ht="45" customHeight="1" spans="1:10">
      <c r="A20" s="2" t="s">
        <v>116</v>
      </c>
      <c r="B20" s="3" t="s">
        <v>77</v>
      </c>
      <c r="C20" s="3" t="s">
        <v>117</v>
      </c>
      <c r="D20" s="3" t="s">
        <v>118</v>
      </c>
      <c r="E20" s="3" t="s">
        <v>114</v>
      </c>
      <c r="F20" s="3" t="s">
        <v>119</v>
      </c>
      <c r="G20" s="3" t="s">
        <v>36</v>
      </c>
      <c r="H20" s="4" t="s">
        <v>6</v>
      </c>
      <c r="I20" s="5" t="s">
        <v>37</v>
      </c>
      <c r="J20" s="5" t="s">
        <v>38</v>
      </c>
    </row>
    <row r="21" ht="45" customHeight="1" spans="1:10">
      <c r="A21" s="6" t="s">
        <v>120</v>
      </c>
      <c r="B21" s="7" t="s">
        <v>121</v>
      </c>
      <c r="C21" s="7" t="s">
        <v>122</v>
      </c>
      <c r="D21" s="7" t="s">
        <v>123</v>
      </c>
      <c r="E21" s="7" t="s">
        <v>124</v>
      </c>
      <c r="F21" s="7" t="s">
        <v>125</v>
      </c>
      <c r="G21" s="7" t="s">
        <v>36</v>
      </c>
      <c r="H21" s="4" t="s">
        <v>6</v>
      </c>
      <c r="I21" s="8" t="s">
        <v>37</v>
      </c>
      <c r="J21" s="8" t="s">
        <v>49</v>
      </c>
    </row>
    <row r="22" ht="45" customHeight="1" spans="1:10">
      <c r="A22" s="2" t="s">
        <v>126</v>
      </c>
      <c r="B22" s="3" t="s">
        <v>121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36</v>
      </c>
      <c r="H22" s="4" t="s">
        <v>6</v>
      </c>
      <c r="I22" s="5" t="s">
        <v>37</v>
      </c>
      <c r="J22" s="5" t="s">
        <v>38</v>
      </c>
    </row>
    <row r="23" ht="45" customHeight="1" spans="1:10">
      <c r="A23" s="6" t="s">
        <v>131</v>
      </c>
      <c r="B23" s="7" t="s">
        <v>121</v>
      </c>
      <c r="C23" s="7" t="s">
        <v>132</v>
      </c>
      <c r="D23" s="7" t="s">
        <v>133</v>
      </c>
      <c r="E23" s="7" t="s">
        <v>134</v>
      </c>
      <c r="F23" s="7" t="s">
        <v>135</v>
      </c>
      <c r="G23" s="7" t="s">
        <v>36</v>
      </c>
      <c r="H23" s="4" t="s">
        <v>6</v>
      </c>
      <c r="I23" s="8" t="s">
        <v>37</v>
      </c>
      <c r="J23" s="8" t="s">
        <v>49</v>
      </c>
    </row>
    <row r="24" ht="45" customHeight="1" spans="1:10">
      <c r="A24" s="2" t="s">
        <v>136</v>
      </c>
      <c r="B24" s="3" t="s">
        <v>121</v>
      </c>
      <c r="C24" s="3" t="s">
        <v>137</v>
      </c>
      <c r="D24" s="3" t="s">
        <v>138</v>
      </c>
      <c r="E24" s="3" t="s">
        <v>139</v>
      </c>
      <c r="F24" s="3" t="s">
        <v>140</v>
      </c>
      <c r="G24" s="3" t="s">
        <v>36</v>
      </c>
      <c r="H24" s="4" t="s">
        <v>6</v>
      </c>
      <c r="I24" s="5" t="s">
        <v>37</v>
      </c>
      <c r="J24" s="5" t="s">
        <v>49</v>
      </c>
    </row>
    <row r="25" ht="45" customHeight="1" spans="1:10">
      <c r="A25" s="6" t="s">
        <v>141</v>
      </c>
      <c r="B25" s="7" t="s">
        <v>121</v>
      </c>
      <c r="C25" s="7" t="s">
        <v>142</v>
      </c>
      <c r="D25" s="7" t="s">
        <v>143</v>
      </c>
      <c r="E25" s="7" t="s">
        <v>144</v>
      </c>
      <c r="F25" s="7" t="s">
        <v>145</v>
      </c>
      <c r="G25" s="7" t="s">
        <v>36</v>
      </c>
      <c r="H25" s="4" t="s">
        <v>6</v>
      </c>
      <c r="I25" s="8" t="s">
        <v>37</v>
      </c>
      <c r="J25" s="8" t="s">
        <v>38</v>
      </c>
    </row>
    <row r="26" ht="45" customHeight="1" spans="1:10">
      <c r="A26" s="2" t="s">
        <v>146</v>
      </c>
      <c r="B26" s="3" t="s">
        <v>121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36</v>
      </c>
      <c r="H26" s="4" t="s">
        <v>6</v>
      </c>
      <c r="I26" s="5" t="s">
        <v>37</v>
      </c>
      <c r="J26" s="5" t="s">
        <v>38</v>
      </c>
    </row>
    <row r="27" ht="45" customHeight="1" spans="1:10">
      <c r="A27" s="6" t="s">
        <v>151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36</v>
      </c>
      <c r="H27" s="4" t="s">
        <v>6</v>
      </c>
      <c r="I27" s="8" t="s">
        <v>37</v>
      </c>
      <c r="J27" s="8" t="s">
        <v>49</v>
      </c>
    </row>
    <row r="28" ht="45" customHeight="1" spans="1:10">
      <c r="A28" s="2" t="s">
        <v>157</v>
      </c>
      <c r="B28" s="3" t="s">
        <v>152</v>
      </c>
      <c r="C28" s="3" t="s">
        <v>158</v>
      </c>
      <c r="D28" s="3" t="s">
        <v>159</v>
      </c>
      <c r="E28" s="3" t="s">
        <v>160</v>
      </c>
      <c r="F28" s="3" t="s">
        <v>161</v>
      </c>
      <c r="G28" s="3" t="s">
        <v>36</v>
      </c>
      <c r="H28" s="4" t="s">
        <v>6</v>
      </c>
      <c r="I28" s="5" t="s">
        <v>37</v>
      </c>
      <c r="J28" s="5" t="s">
        <v>49</v>
      </c>
    </row>
    <row r="29" ht="45" customHeight="1" spans="1:10">
      <c r="A29" s="6" t="s">
        <v>162</v>
      </c>
      <c r="B29" s="7" t="s">
        <v>152</v>
      </c>
      <c r="C29" s="7" t="s">
        <v>163</v>
      </c>
      <c r="D29" s="7" t="s">
        <v>164</v>
      </c>
      <c r="E29" s="7" t="s">
        <v>165</v>
      </c>
      <c r="F29" s="7" t="s">
        <v>166</v>
      </c>
      <c r="G29" s="7" t="s">
        <v>36</v>
      </c>
      <c r="H29" s="4" t="s">
        <v>6</v>
      </c>
      <c r="I29" s="8" t="s">
        <v>37</v>
      </c>
      <c r="J29" s="8" t="s">
        <v>38</v>
      </c>
    </row>
    <row r="30" ht="45" customHeight="1" spans="1:10">
      <c r="A30" s="2" t="s">
        <v>167</v>
      </c>
      <c r="B30" s="3" t="s">
        <v>152</v>
      </c>
      <c r="C30" s="3" t="s">
        <v>168</v>
      </c>
      <c r="D30" s="3" t="s">
        <v>169</v>
      </c>
      <c r="E30" s="3" t="s">
        <v>170</v>
      </c>
      <c r="F30" s="3" t="s">
        <v>171</v>
      </c>
      <c r="G30" s="3" t="s">
        <v>36</v>
      </c>
      <c r="H30" s="4" t="s">
        <v>6</v>
      </c>
      <c r="I30" s="5" t="s">
        <v>37</v>
      </c>
      <c r="J30" s="5" t="s">
        <v>38</v>
      </c>
    </row>
    <row r="31" ht="45" customHeight="1" spans="1:10">
      <c r="A31" s="6" t="s">
        <v>172</v>
      </c>
      <c r="B31" s="7" t="s">
        <v>152</v>
      </c>
      <c r="C31" s="7" t="s">
        <v>173</v>
      </c>
      <c r="D31" s="7" t="s">
        <v>174</v>
      </c>
      <c r="E31" s="7" t="s">
        <v>175</v>
      </c>
      <c r="F31" s="7" t="s">
        <v>176</v>
      </c>
      <c r="G31" s="7" t="s">
        <v>36</v>
      </c>
      <c r="H31" s="4" t="s">
        <v>6</v>
      </c>
      <c r="I31" s="8" t="s">
        <v>37</v>
      </c>
      <c r="J31" s="8" t="s">
        <v>38</v>
      </c>
    </row>
    <row r="32" ht="45" customHeight="1" spans="1:10">
      <c r="A32" s="2" t="s">
        <v>177</v>
      </c>
      <c r="B32" s="3" t="s">
        <v>152</v>
      </c>
      <c r="C32" s="3" t="s">
        <v>178</v>
      </c>
      <c r="D32" s="3" t="s">
        <v>179</v>
      </c>
      <c r="E32" s="3" t="s">
        <v>180</v>
      </c>
      <c r="F32" s="3" t="s">
        <v>181</v>
      </c>
      <c r="G32" s="3" t="s">
        <v>36</v>
      </c>
      <c r="H32" s="4" t="s">
        <v>6</v>
      </c>
      <c r="I32" s="5" t="s">
        <v>37</v>
      </c>
      <c r="J32" s="5" t="s">
        <v>38</v>
      </c>
    </row>
    <row r="33" ht="45" customHeight="1" spans="1:10">
      <c r="A33" s="6" t="s">
        <v>182</v>
      </c>
      <c r="B33" s="7" t="s">
        <v>152</v>
      </c>
      <c r="C33" s="7" t="s">
        <v>183</v>
      </c>
      <c r="D33" s="7" t="s">
        <v>184</v>
      </c>
      <c r="E33" s="7" t="s">
        <v>185</v>
      </c>
      <c r="F33" s="7" t="s">
        <v>186</v>
      </c>
      <c r="G33" s="7" t="s">
        <v>36</v>
      </c>
      <c r="H33" s="4" t="s">
        <v>6</v>
      </c>
      <c r="I33" s="9" t="s">
        <v>60</v>
      </c>
      <c r="J33" s="9" t="s">
        <v>61</v>
      </c>
    </row>
    <row r="34" ht="45" customHeight="1" spans="1:10">
      <c r="A34" s="2" t="s">
        <v>187</v>
      </c>
      <c r="B34" s="3" t="s">
        <v>188</v>
      </c>
      <c r="C34" s="3" t="s">
        <v>189</v>
      </c>
      <c r="D34" s="3" t="s">
        <v>190</v>
      </c>
      <c r="E34" s="3" t="s">
        <v>191</v>
      </c>
      <c r="F34" s="3" t="s">
        <v>192</v>
      </c>
      <c r="G34" s="3" t="s">
        <v>36</v>
      </c>
      <c r="H34" s="4" t="s">
        <v>6</v>
      </c>
      <c r="I34" s="5" t="s">
        <v>37</v>
      </c>
      <c r="J34" s="5" t="s">
        <v>38</v>
      </c>
    </row>
    <row r="35" ht="45" customHeight="1" spans="1:10">
      <c r="A35" s="6" t="s">
        <v>193</v>
      </c>
      <c r="B35" s="7" t="s">
        <v>188</v>
      </c>
      <c r="C35" s="7" t="s">
        <v>194</v>
      </c>
      <c r="D35" s="7" t="s">
        <v>195</v>
      </c>
      <c r="E35" s="7" t="s">
        <v>196</v>
      </c>
      <c r="F35" s="7" t="s">
        <v>197</v>
      </c>
      <c r="G35" s="7" t="s">
        <v>36</v>
      </c>
      <c r="H35" s="4" t="s">
        <v>6</v>
      </c>
      <c r="I35" s="8" t="s">
        <v>37</v>
      </c>
      <c r="J35" s="8" t="s">
        <v>38</v>
      </c>
    </row>
    <row r="36" ht="45" customHeight="1" spans="1:10">
      <c r="A36" s="2" t="s">
        <v>198</v>
      </c>
      <c r="B36" s="3" t="s">
        <v>188</v>
      </c>
      <c r="C36" s="3" t="s">
        <v>199</v>
      </c>
      <c r="D36" s="3" t="s">
        <v>200</v>
      </c>
      <c r="E36" s="3" t="s">
        <v>201</v>
      </c>
      <c r="F36" s="3" t="s">
        <v>202</v>
      </c>
      <c r="G36" s="3" t="s">
        <v>36</v>
      </c>
      <c r="H36" s="4" t="s">
        <v>6</v>
      </c>
      <c r="I36" s="10" t="s">
        <v>60</v>
      </c>
      <c r="J36" s="10" t="s">
        <v>61</v>
      </c>
    </row>
    <row r="37" ht="45" customHeight="1" spans="1:10">
      <c r="A37" s="6" t="s">
        <v>203</v>
      </c>
      <c r="B37" s="7" t="s">
        <v>188</v>
      </c>
      <c r="C37" s="7" t="s">
        <v>204</v>
      </c>
      <c r="D37" s="7" t="s">
        <v>205</v>
      </c>
      <c r="E37" s="7" t="s">
        <v>206</v>
      </c>
      <c r="F37" s="7" t="s">
        <v>207</v>
      </c>
      <c r="G37" s="7" t="s">
        <v>36</v>
      </c>
      <c r="H37" s="4" t="s">
        <v>6</v>
      </c>
      <c r="I37" s="9" t="s">
        <v>60</v>
      </c>
      <c r="J37" s="9" t="s">
        <v>61</v>
      </c>
    </row>
    <row r="38" ht="45" customHeight="1" spans="1:10">
      <c r="A38" s="2" t="s">
        <v>208</v>
      </c>
      <c r="B38" s="3" t="s">
        <v>209</v>
      </c>
      <c r="C38" s="3" t="s">
        <v>210</v>
      </c>
      <c r="D38" s="3" t="s">
        <v>211</v>
      </c>
      <c r="E38" s="3" t="s">
        <v>212</v>
      </c>
      <c r="F38" s="3" t="s">
        <v>213</v>
      </c>
      <c r="G38" s="3" t="s">
        <v>36</v>
      </c>
      <c r="H38" s="4" t="s">
        <v>6</v>
      </c>
      <c r="I38" s="5" t="s">
        <v>37</v>
      </c>
      <c r="J38" s="5" t="s">
        <v>38</v>
      </c>
    </row>
    <row r="39" ht="45" customHeight="1" spans="1:10">
      <c r="A39" s="6" t="s">
        <v>214</v>
      </c>
      <c r="B39" s="7" t="s">
        <v>209</v>
      </c>
      <c r="C39" s="7" t="s">
        <v>215</v>
      </c>
      <c r="D39" s="7" t="s">
        <v>211</v>
      </c>
      <c r="E39" s="7" t="s">
        <v>216</v>
      </c>
      <c r="F39" s="7" t="s">
        <v>217</v>
      </c>
      <c r="G39" s="7" t="s">
        <v>36</v>
      </c>
      <c r="H39" s="4" t="s">
        <v>6</v>
      </c>
      <c r="I39" s="8" t="s">
        <v>37</v>
      </c>
      <c r="J39" s="8" t="s">
        <v>38</v>
      </c>
    </row>
    <row r="40" ht="45" customHeight="1" spans="1:10">
      <c r="A40" s="2" t="s">
        <v>218</v>
      </c>
      <c r="B40" s="3" t="s">
        <v>209</v>
      </c>
      <c r="C40" s="3" t="s">
        <v>219</v>
      </c>
      <c r="D40" s="3" t="s">
        <v>211</v>
      </c>
      <c r="E40" s="3" t="s">
        <v>220</v>
      </c>
      <c r="F40" s="3" t="s">
        <v>221</v>
      </c>
      <c r="G40" s="3" t="s">
        <v>36</v>
      </c>
      <c r="H40" s="4" t="s">
        <v>6</v>
      </c>
      <c r="I40" s="10" t="s">
        <v>60</v>
      </c>
      <c r="J40" s="10" t="s">
        <v>61</v>
      </c>
    </row>
    <row r="41" ht="45" customHeight="1" spans="1:10">
      <c r="A41" s="6" t="s">
        <v>222</v>
      </c>
      <c r="B41" s="7" t="s">
        <v>209</v>
      </c>
      <c r="C41" s="7" t="s">
        <v>223</v>
      </c>
      <c r="D41" s="7" t="s">
        <v>224</v>
      </c>
      <c r="E41" s="7" t="s">
        <v>225</v>
      </c>
      <c r="F41" s="7" t="s">
        <v>226</v>
      </c>
      <c r="G41" s="7" t="s">
        <v>36</v>
      </c>
      <c r="H41" s="4" t="s">
        <v>6</v>
      </c>
      <c r="I41" s="9" t="s">
        <v>60</v>
      </c>
      <c r="J41" s="9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5"/>
  <sheetViews>
    <sheetView topLeftCell="A19" workbookViewId="0">
      <selection activeCell="A1" sqref="A1"/>
    </sheetView>
  </sheetViews>
  <sheetFormatPr defaultColWidth="9" defaultRowHeight="14.4" outlineLevelCol="7"/>
  <cols>
    <col min="1" max="1" width="32" customWidth="1"/>
    <col min="2" max="2" width="12" customWidth="1"/>
    <col min="3" max="4" width="35" customWidth="1"/>
    <col min="5" max="5" width="16" customWidth="1"/>
    <col min="6" max="6" width="45" customWidth="1"/>
    <col min="7" max="7" width="25" customWidth="1"/>
    <col min="8" max="8" width="14" customWidth="1"/>
  </cols>
  <sheetData>
    <row r="3" ht="30" spans="1:8">
      <c r="A3" s="1" t="s">
        <v>227</v>
      </c>
      <c r="B3" s="1" t="s">
        <v>228</v>
      </c>
      <c r="C3" s="1" t="s">
        <v>229</v>
      </c>
      <c r="D3" s="1" t="s">
        <v>230</v>
      </c>
      <c r="E3" s="1" t="s">
        <v>231</v>
      </c>
      <c r="F3" s="1" t="s">
        <v>232</v>
      </c>
      <c r="G3" s="1" t="s">
        <v>233</v>
      </c>
      <c r="H3" s="1" t="s">
        <v>27</v>
      </c>
    </row>
    <row r="4" ht="86" customHeight="1" spans="1:8">
      <c r="A4" s="3" t="s">
        <v>234</v>
      </c>
      <c r="B4" s="2" t="s">
        <v>235</v>
      </c>
      <c r="C4" s="3" t="s">
        <v>236</v>
      </c>
      <c r="D4" s="3" t="s">
        <v>237</v>
      </c>
      <c r="E4" s="2" t="s">
        <v>238</v>
      </c>
      <c r="F4" s="3" t="s">
        <v>239</v>
      </c>
      <c r="G4" s="2" t="s">
        <v>240</v>
      </c>
      <c r="H4" s="4" t="s">
        <v>6</v>
      </c>
    </row>
    <row r="5" ht="42" customHeight="1" spans="1:8">
      <c r="A5" s="7" t="s">
        <v>241</v>
      </c>
      <c r="B5" s="6" t="s">
        <v>235</v>
      </c>
      <c r="C5" s="7" t="s">
        <v>242</v>
      </c>
      <c r="D5" s="7" t="s">
        <v>237</v>
      </c>
      <c r="E5" s="6" t="s">
        <v>243</v>
      </c>
      <c r="F5" s="7" t="s">
        <v>244</v>
      </c>
      <c r="G5" s="6" t="s">
        <v>240</v>
      </c>
      <c r="H5" s="4" t="s">
        <v>6</v>
      </c>
    </row>
    <row r="6" ht="42" customHeight="1" spans="1:8">
      <c r="A6" s="3" t="s">
        <v>245</v>
      </c>
      <c r="B6" s="2" t="s">
        <v>235</v>
      </c>
      <c r="C6" s="3" t="s">
        <v>246</v>
      </c>
      <c r="D6" s="3" t="s">
        <v>237</v>
      </c>
      <c r="E6" s="2" t="s">
        <v>243</v>
      </c>
      <c r="F6" s="3" t="s">
        <v>247</v>
      </c>
      <c r="G6" s="2" t="s">
        <v>240</v>
      </c>
      <c r="H6" s="4" t="s">
        <v>6</v>
      </c>
    </row>
    <row r="7" ht="42" customHeight="1" spans="1:8">
      <c r="A7" s="7" t="s">
        <v>248</v>
      </c>
      <c r="B7" s="6" t="s">
        <v>249</v>
      </c>
      <c r="C7" s="7" t="s">
        <v>237</v>
      </c>
      <c r="D7" s="7" t="s">
        <v>250</v>
      </c>
      <c r="E7" s="6" t="s">
        <v>243</v>
      </c>
      <c r="F7" s="7" t="s">
        <v>251</v>
      </c>
      <c r="G7" s="6" t="s">
        <v>252</v>
      </c>
      <c r="H7" s="4" t="s">
        <v>6</v>
      </c>
    </row>
    <row r="8" ht="42" customHeight="1" spans="1:8">
      <c r="A8" s="3" t="s">
        <v>253</v>
      </c>
      <c r="B8" s="2" t="s">
        <v>249</v>
      </c>
      <c r="C8" s="3" t="s">
        <v>237</v>
      </c>
      <c r="D8" s="3" t="s">
        <v>250</v>
      </c>
      <c r="E8" s="2" t="s">
        <v>243</v>
      </c>
      <c r="F8" s="3" t="s">
        <v>254</v>
      </c>
      <c r="G8" s="2" t="s">
        <v>252</v>
      </c>
      <c r="H8" s="4" t="s">
        <v>6</v>
      </c>
    </row>
    <row r="9" ht="42" customHeight="1" spans="1:8">
      <c r="A9" s="7" t="s">
        <v>255</v>
      </c>
      <c r="B9" s="6" t="s">
        <v>249</v>
      </c>
      <c r="C9" s="7" t="s">
        <v>237</v>
      </c>
      <c r="D9" s="7" t="s">
        <v>250</v>
      </c>
      <c r="E9" s="6" t="s">
        <v>243</v>
      </c>
      <c r="F9" s="7" t="s">
        <v>256</v>
      </c>
      <c r="G9" s="6" t="s">
        <v>252</v>
      </c>
      <c r="H9" s="4" t="s">
        <v>6</v>
      </c>
    </row>
    <row r="10" ht="42" customHeight="1" spans="1:8">
      <c r="A10" s="3" t="s">
        <v>255</v>
      </c>
      <c r="B10" s="2" t="s">
        <v>235</v>
      </c>
      <c r="C10" s="3" t="s">
        <v>257</v>
      </c>
      <c r="D10" s="3" t="s">
        <v>250</v>
      </c>
      <c r="E10" s="2" t="s">
        <v>238</v>
      </c>
      <c r="F10" s="3" t="s">
        <v>258</v>
      </c>
      <c r="G10" s="2" t="s">
        <v>252</v>
      </c>
      <c r="H10" s="4" t="s">
        <v>6</v>
      </c>
    </row>
    <row r="11" ht="42" customHeight="1" spans="1:8">
      <c r="A11" s="7" t="s">
        <v>259</v>
      </c>
      <c r="B11" s="6" t="s">
        <v>249</v>
      </c>
      <c r="C11" s="7" t="s">
        <v>237</v>
      </c>
      <c r="D11" s="7" t="s">
        <v>250</v>
      </c>
      <c r="E11" s="6" t="s">
        <v>243</v>
      </c>
      <c r="F11" s="7" t="s">
        <v>260</v>
      </c>
      <c r="G11" s="6" t="s">
        <v>252</v>
      </c>
      <c r="H11" s="4" t="s">
        <v>6</v>
      </c>
    </row>
    <row r="12" ht="42" customHeight="1" spans="1:8">
      <c r="A12" s="3" t="s">
        <v>259</v>
      </c>
      <c r="B12" s="2" t="s">
        <v>261</v>
      </c>
      <c r="C12" s="3" t="s">
        <v>262</v>
      </c>
      <c r="D12" s="3" t="s">
        <v>250</v>
      </c>
      <c r="E12" s="2" t="s">
        <v>243</v>
      </c>
      <c r="F12" s="3" t="s">
        <v>263</v>
      </c>
      <c r="G12" s="2" t="s">
        <v>252</v>
      </c>
      <c r="H12" s="4" t="s">
        <v>6</v>
      </c>
    </row>
    <row r="13" ht="42" customHeight="1" spans="1:8">
      <c r="A13" s="7" t="s">
        <v>259</v>
      </c>
      <c r="B13" s="6" t="s">
        <v>264</v>
      </c>
      <c r="C13" s="7" t="s">
        <v>237</v>
      </c>
      <c r="D13" s="7" t="s">
        <v>250</v>
      </c>
      <c r="E13" s="6" t="s">
        <v>265</v>
      </c>
      <c r="F13" s="7" t="s">
        <v>266</v>
      </c>
      <c r="G13" s="6" t="s">
        <v>252</v>
      </c>
      <c r="H13" s="4" t="s">
        <v>6</v>
      </c>
    </row>
    <row r="14" ht="42" customHeight="1" spans="1:8">
      <c r="A14" s="3" t="s">
        <v>267</v>
      </c>
      <c r="B14" s="2" t="s">
        <v>235</v>
      </c>
      <c r="C14" s="3" t="s">
        <v>237</v>
      </c>
      <c r="D14" s="3" t="s">
        <v>250</v>
      </c>
      <c r="E14" s="2" t="s">
        <v>243</v>
      </c>
      <c r="F14" s="3" t="s">
        <v>268</v>
      </c>
      <c r="G14" s="2" t="s">
        <v>252</v>
      </c>
      <c r="H14" s="4" t="s">
        <v>6</v>
      </c>
    </row>
    <row r="15" ht="42" customHeight="1" spans="1:8">
      <c r="A15" s="7" t="s">
        <v>269</v>
      </c>
      <c r="B15" s="6" t="s">
        <v>249</v>
      </c>
      <c r="C15" s="7" t="s">
        <v>270</v>
      </c>
      <c r="D15" s="7" t="s">
        <v>250</v>
      </c>
      <c r="E15" s="6" t="s">
        <v>243</v>
      </c>
      <c r="F15" s="7" t="s">
        <v>271</v>
      </c>
      <c r="G15" s="6" t="s">
        <v>252</v>
      </c>
      <c r="H15" s="4" t="s">
        <v>6</v>
      </c>
    </row>
    <row r="16" ht="42" customHeight="1" spans="1:8">
      <c r="A16" s="3" t="s">
        <v>272</v>
      </c>
      <c r="B16" s="2" t="s">
        <v>249</v>
      </c>
      <c r="C16" s="3" t="s">
        <v>237</v>
      </c>
      <c r="D16" s="3" t="s">
        <v>250</v>
      </c>
      <c r="E16" s="2" t="s">
        <v>243</v>
      </c>
      <c r="F16" s="3" t="s">
        <v>273</v>
      </c>
      <c r="G16" s="2" t="s">
        <v>252</v>
      </c>
      <c r="H16" s="4" t="s">
        <v>6</v>
      </c>
    </row>
    <row r="17" ht="42" customHeight="1" spans="1:8">
      <c r="A17" s="7" t="s">
        <v>274</v>
      </c>
      <c r="B17" s="6" t="s">
        <v>249</v>
      </c>
      <c r="C17" s="7" t="s">
        <v>237</v>
      </c>
      <c r="D17" s="7" t="s">
        <v>275</v>
      </c>
      <c r="E17" s="6" t="s">
        <v>243</v>
      </c>
      <c r="F17" s="7" t="s">
        <v>276</v>
      </c>
      <c r="G17" s="6" t="s">
        <v>277</v>
      </c>
      <c r="H17" s="4" t="s">
        <v>6</v>
      </c>
    </row>
    <row r="18" ht="42" customHeight="1" spans="1:8">
      <c r="A18" s="3" t="s">
        <v>278</v>
      </c>
      <c r="B18" s="2" t="s">
        <v>249</v>
      </c>
      <c r="C18" s="3" t="s">
        <v>279</v>
      </c>
      <c r="D18" s="3" t="s">
        <v>250</v>
      </c>
      <c r="E18" s="2" t="s">
        <v>243</v>
      </c>
      <c r="F18" s="3" t="s">
        <v>280</v>
      </c>
      <c r="G18" s="2" t="s">
        <v>252</v>
      </c>
      <c r="H18" s="4" t="s">
        <v>6</v>
      </c>
    </row>
    <row r="19" ht="42" customHeight="1" spans="1:8">
      <c r="A19" s="7" t="s">
        <v>281</v>
      </c>
      <c r="B19" s="6" t="s">
        <v>235</v>
      </c>
      <c r="C19" s="7" t="s">
        <v>237</v>
      </c>
      <c r="D19" s="7" t="s">
        <v>250</v>
      </c>
      <c r="E19" s="6" t="s">
        <v>243</v>
      </c>
      <c r="F19" s="7" t="s">
        <v>282</v>
      </c>
      <c r="G19" s="6" t="s">
        <v>252</v>
      </c>
      <c r="H19" s="4" t="s">
        <v>6</v>
      </c>
    </row>
    <row r="20" ht="42" customHeight="1" spans="1:8">
      <c r="A20" s="3" t="s">
        <v>283</v>
      </c>
      <c r="B20" s="2" t="s">
        <v>249</v>
      </c>
      <c r="C20" s="3" t="s">
        <v>237</v>
      </c>
      <c r="D20" s="3" t="s">
        <v>250</v>
      </c>
      <c r="E20" s="2" t="s">
        <v>243</v>
      </c>
      <c r="F20" s="3" t="s">
        <v>284</v>
      </c>
      <c r="G20" s="2" t="s">
        <v>252</v>
      </c>
      <c r="H20" s="4" t="s">
        <v>6</v>
      </c>
    </row>
    <row r="21" ht="42" customHeight="1" spans="1:8">
      <c r="A21" s="7" t="s">
        <v>285</v>
      </c>
      <c r="B21" s="6" t="s">
        <v>249</v>
      </c>
      <c r="C21" s="7" t="s">
        <v>237</v>
      </c>
      <c r="D21" s="7" t="s">
        <v>250</v>
      </c>
      <c r="E21" s="6" t="s">
        <v>243</v>
      </c>
      <c r="F21" s="7" t="s">
        <v>286</v>
      </c>
      <c r="G21" s="6" t="s">
        <v>252</v>
      </c>
      <c r="H21" s="4" t="s">
        <v>6</v>
      </c>
    </row>
    <row r="22" ht="42" customHeight="1" spans="1:8">
      <c r="A22" s="3" t="s">
        <v>287</v>
      </c>
      <c r="B22" s="2" t="s">
        <v>249</v>
      </c>
      <c r="C22" s="3" t="s">
        <v>237</v>
      </c>
      <c r="D22" s="3" t="s">
        <v>250</v>
      </c>
      <c r="E22" s="2" t="s">
        <v>243</v>
      </c>
      <c r="F22" s="3" t="s">
        <v>288</v>
      </c>
      <c r="G22" s="2" t="s">
        <v>252</v>
      </c>
      <c r="H22" s="4" t="s">
        <v>6</v>
      </c>
    </row>
    <row r="23" ht="42" customHeight="1" spans="1:8">
      <c r="A23" s="7" t="s">
        <v>289</v>
      </c>
      <c r="B23" s="6" t="s">
        <v>249</v>
      </c>
      <c r="C23" s="7" t="s">
        <v>237</v>
      </c>
      <c r="D23" s="7" t="s">
        <v>250</v>
      </c>
      <c r="E23" s="6" t="s">
        <v>243</v>
      </c>
      <c r="F23" s="7" t="s">
        <v>290</v>
      </c>
      <c r="G23" s="6" t="s">
        <v>252</v>
      </c>
      <c r="H23" s="4" t="s">
        <v>6</v>
      </c>
    </row>
    <row r="24" ht="42" customHeight="1" spans="1:8">
      <c r="A24" s="3" t="s">
        <v>291</v>
      </c>
      <c r="B24" s="2" t="s">
        <v>249</v>
      </c>
      <c r="C24" s="3" t="s">
        <v>237</v>
      </c>
      <c r="D24" s="3" t="s">
        <v>250</v>
      </c>
      <c r="E24" s="2" t="s">
        <v>243</v>
      </c>
      <c r="F24" s="3" t="s">
        <v>292</v>
      </c>
      <c r="G24" s="2" t="s">
        <v>252</v>
      </c>
      <c r="H24" s="4" t="s">
        <v>6</v>
      </c>
    </row>
    <row r="25" ht="42" customHeight="1" spans="1:8">
      <c r="A25" s="7" t="s">
        <v>293</v>
      </c>
      <c r="B25" s="6" t="s">
        <v>235</v>
      </c>
      <c r="C25" s="7" t="s">
        <v>294</v>
      </c>
      <c r="D25" s="7" t="s">
        <v>250</v>
      </c>
      <c r="E25" s="6" t="s">
        <v>243</v>
      </c>
      <c r="F25" s="7" t="s">
        <v>295</v>
      </c>
      <c r="G25" s="6" t="s">
        <v>252</v>
      </c>
      <c r="H25" s="4" t="s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4"/>
  <sheetViews>
    <sheetView tabSelected="1" workbookViewId="0">
      <selection activeCell="A1" sqref="A1"/>
    </sheetView>
  </sheetViews>
  <sheetFormatPr defaultColWidth="9" defaultRowHeight="14.4" outlineLevelCol="5"/>
  <cols>
    <col min="1" max="1" width="16" customWidth="1"/>
    <col min="2" max="2" width="30" customWidth="1"/>
    <col min="3" max="4" width="45" customWidth="1"/>
    <col min="5" max="5" width="14" customWidth="1"/>
    <col min="6" max="6" width="12" customWidth="1"/>
  </cols>
  <sheetData>
    <row r="3" ht="15" spans="1:6">
      <c r="A3" s="1" t="s">
        <v>296</v>
      </c>
      <c r="B3" s="1" t="s">
        <v>297</v>
      </c>
      <c r="C3" s="1" t="s">
        <v>298</v>
      </c>
      <c r="D3" s="1" t="s">
        <v>299</v>
      </c>
      <c r="E3" s="1" t="s">
        <v>27</v>
      </c>
      <c r="F3" s="1" t="s">
        <v>28</v>
      </c>
    </row>
    <row r="4" ht="45" customHeight="1" spans="1:6">
      <c r="A4" s="2" t="s">
        <v>300</v>
      </c>
      <c r="B4" s="3" t="s">
        <v>301</v>
      </c>
      <c r="C4" s="3" t="s">
        <v>302</v>
      </c>
      <c r="D4" s="3" t="s">
        <v>303</v>
      </c>
      <c r="E4" s="4" t="s">
        <v>6</v>
      </c>
      <c r="F4" s="5" t="s">
        <v>37</v>
      </c>
    </row>
    <row r="5" ht="45" customHeight="1" spans="1:6">
      <c r="A5" s="6" t="s">
        <v>300</v>
      </c>
      <c r="B5" s="7" t="s">
        <v>304</v>
      </c>
      <c r="C5" s="7" t="s">
        <v>305</v>
      </c>
      <c r="D5" s="7" t="s">
        <v>306</v>
      </c>
      <c r="E5" s="4" t="s">
        <v>6</v>
      </c>
      <c r="F5" s="8" t="s">
        <v>37</v>
      </c>
    </row>
    <row r="6" ht="45" customHeight="1" spans="1:6">
      <c r="A6" s="2" t="s">
        <v>300</v>
      </c>
      <c r="B6" s="3" t="s">
        <v>307</v>
      </c>
      <c r="C6" s="3" t="s">
        <v>308</v>
      </c>
      <c r="D6" s="3" t="s">
        <v>309</v>
      </c>
      <c r="E6" s="4" t="s">
        <v>6</v>
      </c>
      <c r="F6" s="5" t="s">
        <v>37</v>
      </c>
    </row>
    <row r="7" ht="45" customHeight="1" spans="1:6">
      <c r="A7" s="6" t="s">
        <v>300</v>
      </c>
      <c r="B7" s="7" t="s">
        <v>310</v>
      </c>
      <c r="C7" s="7" t="s">
        <v>311</v>
      </c>
      <c r="D7" s="7" t="s">
        <v>312</v>
      </c>
      <c r="E7" s="4" t="s">
        <v>6</v>
      </c>
      <c r="F7" s="9" t="s">
        <v>60</v>
      </c>
    </row>
    <row r="8" ht="45" customHeight="1" spans="1:6">
      <c r="A8" s="2" t="s">
        <v>313</v>
      </c>
      <c r="B8" s="3" t="s">
        <v>314</v>
      </c>
      <c r="C8" s="3" t="s">
        <v>315</v>
      </c>
      <c r="D8" s="3" t="s">
        <v>316</v>
      </c>
      <c r="E8" s="4" t="s">
        <v>6</v>
      </c>
      <c r="F8" s="5" t="s">
        <v>37</v>
      </c>
    </row>
    <row r="9" ht="45" customHeight="1" spans="1:6">
      <c r="A9" s="6" t="s">
        <v>313</v>
      </c>
      <c r="B9" s="7" t="s">
        <v>317</v>
      </c>
      <c r="C9" s="7" t="s">
        <v>318</v>
      </c>
      <c r="D9" s="7" t="s">
        <v>319</v>
      </c>
      <c r="E9" s="4" t="s">
        <v>6</v>
      </c>
      <c r="F9" s="8" t="s">
        <v>37</v>
      </c>
    </row>
    <row r="10" ht="45" customHeight="1" spans="1:6">
      <c r="A10" s="2" t="s">
        <v>313</v>
      </c>
      <c r="B10" s="3" t="s">
        <v>320</v>
      </c>
      <c r="C10" s="3" t="s">
        <v>321</v>
      </c>
      <c r="D10" s="3" t="s">
        <v>322</v>
      </c>
      <c r="E10" s="4" t="s">
        <v>6</v>
      </c>
      <c r="F10" s="10" t="s">
        <v>60</v>
      </c>
    </row>
    <row r="11" ht="45" customHeight="1" spans="1:6">
      <c r="A11" s="6" t="s">
        <v>323</v>
      </c>
      <c r="B11" s="7" t="s">
        <v>324</v>
      </c>
      <c r="C11" s="7" t="s">
        <v>325</v>
      </c>
      <c r="D11" s="7" t="s">
        <v>326</v>
      </c>
      <c r="E11" s="4" t="s">
        <v>6</v>
      </c>
      <c r="F11" s="8" t="s">
        <v>37</v>
      </c>
    </row>
    <row r="12" ht="45" customHeight="1" spans="1:6">
      <c r="A12" s="2" t="s">
        <v>323</v>
      </c>
      <c r="B12" s="3" t="s">
        <v>327</v>
      </c>
      <c r="C12" s="3" t="s">
        <v>328</v>
      </c>
      <c r="D12" s="3" t="s">
        <v>329</v>
      </c>
      <c r="E12" s="4" t="s">
        <v>6</v>
      </c>
      <c r="F12" s="10" t="s">
        <v>60</v>
      </c>
    </row>
    <row r="13" ht="45" customHeight="1" spans="1:6">
      <c r="A13" s="6" t="s">
        <v>323</v>
      </c>
      <c r="B13" s="7" t="s">
        <v>330</v>
      </c>
      <c r="C13" s="7" t="s">
        <v>331</v>
      </c>
      <c r="D13" s="7" t="s">
        <v>332</v>
      </c>
      <c r="E13" s="4" t="s">
        <v>6</v>
      </c>
      <c r="F13" s="9" t="s">
        <v>60</v>
      </c>
    </row>
    <row r="14" ht="45" customHeight="1" spans="1:6">
      <c r="A14" s="2" t="s">
        <v>323</v>
      </c>
      <c r="B14" s="3" t="s">
        <v>333</v>
      </c>
      <c r="C14" s="3" t="s">
        <v>334</v>
      </c>
      <c r="D14" s="3" t="s">
        <v>335</v>
      </c>
      <c r="E14" s="4" t="s">
        <v>6</v>
      </c>
      <c r="F14" s="10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 &amp; Summary</vt:lpstr>
      <vt:lpstr>Functional Test Cases</vt:lpstr>
      <vt:lpstr>API Integration</vt:lpstr>
      <vt:lpstr>Performance &amp; 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Jyotiram manik</cp:lastModifiedBy>
  <dcterms:created xsi:type="dcterms:W3CDTF">2026-08-03T04:48:00Z</dcterms:created>
  <dcterms:modified xsi:type="dcterms:W3CDTF">2026-08-03T04:52:49Z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E71FD6A988FC414C9864EA35CDE32715_12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